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mplate_A_Two_Load" sheetId="2" state="visible" r:id="rId2"/>
    <sheet name="Template_B_Charge_Ladder" sheetId="3" state="visible" r:id="rId3"/>
    <sheet name="Template_C_Before_After" sheetId="4" state="visible" r:id="rId4"/>
    <sheet name="_Calcula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+0.0;-0.0;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4"/>
    </font>
    <font>
      <color rgb="00000000"/>
      <sz val="11"/>
    </font>
    <font>
      <color rgb="00000000"/>
      <sz val="10"/>
    </font>
    <font>
      <b val="1"/>
      <color rgb="00000000"/>
      <sz val="12"/>
    </font>
    <font>
      <b val="1"/>
      <color rgb="00FFFFFF"/>
      <sz val="12"/>
    </font>
    <font>
      <b val="1"/>
      <color rgb="00000000"/>
      <sz val="11"/>
    </font>
    <font>
      <b val="1"/>
      <color rgb="00FFFFFF"/>
      <sz val="11"/>
    </font>
    <font>
      <b val="1"/>
      <color rgb="00000000"/>
      <sz val="10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0F0F0"/>
        <bgColor rgb="00F0F0F0"/>
      </patternFill>
    </fill>
    <fill>
      <patternFill patternType="solid">
        <fgColor rgb="00FFFF99"/>
        <bgColor rgb="00FFFF9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3" fillId="5" borderId="0" applyAlignment="1" applyProtection="1" pivotButton="0" quotePrefix="0" xfId="0">
      <alignment horizontal="center" vertical="top"/>
      <protection locked="0" hidden="0"/>
    </xf>
    <xf numFmtId="0" fontId="3" fillId="5" borderId="0" applyAlignment="1" applyProtection="1" pivotButton="0" quotePrefix="0" xfId="0">
      <alignment horizontal="right" vertical="top"/>
      <protection locked="0" hidden="0"/>
    </xf>
    <xf numFmtId="0" fontId="3" fillId="6" borderId="0" applyAlignment="1" pivotButton="0" quotePrefix="0" xfId="0">
      <alignment horizontal="center" vertical="top"/>
    </xf>
    <xf numFmtId="0" fontId="3" fillId="6" borderId="0" applyAlignment="1" applyProtection="1" pivotButton="0" quotePrefix="0" xfId="0">
      <alignment horizontal="center" vertical="top"/>
      <protection locked="0" hidden="0"/>
    </xf>
    <xf numFmtId="0" fontId="3" fillId="6" borderId="0" applyAlignment="1" applyProtection="1" pivotButton="0" quotePrefix="0" xfId="0">
      <alignment horizontal="right" vertical="top"/>
      <protection locked="0" hidden="0"/>
    </xf>
    <xf numFmtId="0" fontId="3" fillId="0" borderId="0" applyAlignment="1" pivotButton="0" quotePrefix="0" xfId="0">
      <alignment horizontal="left" vertical="top"/>
    </xf>
    <xf numFmtId="1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left" vertical="top"/>
    </xf>
    <xf numFmtId="0" fontId="7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4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Reloading Analysis Templates - User Guide</t>
        </is>
      </c>
    </row>
    <row r="3">
      <c r="A3" s="2" t="inlineStr">
        <is>
          <t>Welcome!</t>
        </is>
      </c>
    </row>
    <row r="4">
      <c r="A4" s="3" t="inlineStr">
        <is>
          <t>This workbook contains three professional analysis templates for ammunition testing. These templates match the functionality of the Python templates from Lesson 08 of the Data-Driven Reloading curriculum.
Each template provides:
✓ Automatic statistical calculations
✓ Professional visualizations (4 charts per template)
✓ Plain-English interpretation
✓ Clear decision guidance
✓ Protected formulas (you can't accidentally break them)</t>
        </is>
      </c>
    </row>
    <row r="5"/>
    <row r="6"/>
    <row r="7"/>
    <row r="8"/>
    <row r="9"/>
    <row r="10"/>
    <row r="12">
      <c r="A12" s="4" t="inlineStr">
        <is>
          <t>How to Use These Templates (3 Steps)</t>
        </is>
      </c>
    </row>
    <row r="13">
      <c r="A13" s="5" t="inlineStr">
        <is>
          <t>STEP 1: Choose Your Template
• Template A: Compare two loads (primers, powders, bullets, etc.)
• Template B: Test multiple powder charges (ladder test)
• Template C: Evaluate a single modification (before/after)
STEP 2: Enter Your Data
• Go to the template sheet
• Find the data entry area (colored columns)
• Paste or type your chronograph readings
• Use the dropdowns for Load/Condition/Charge columns
• DO NOT modify formula cells (they're protected)
STEP 3: Review Results
• Statistics calculate automatically
• Review the 4 charts (update automatically)
• Read the interpretation section (plain English)
• Follow the recommendation guidance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1">
      <c r="A31" s="4" t="inlineStr">
        <is>
          <t>Template Details</t>
        </is>
      </c>
    </row>
    <row r="33">
      <c r="A33" s="6" t="inlineStr">
        <is>
          <t>Template A: Two-Load Comparison</t>
        </is>
      </c>
    </row>
    <row r="34">
      <c r="A34" t="inlineStr">
        <is>
          <t>Purpose: Compare velocity performance between any two loads</t>
        </is>
      </c>
    </row>
    <row r="35">
      <c r="A35" t="inlineStr">
        <is>
          <t>Data Required: 30 shots per load (60 total)</t>
        </is>
      </c>
    </row>
    <row r="36">
      <c r="A36" t="inlineStr">
        <is>
          <t>Columns: Shot, Load, Velocity</t>
        </is>
      </c>
    </row>
    <row r="37">
      <c r="A37" t="inlineStr">
        <is>
          <t>Use For: Primer comparison, powder comparison, bullet comparison</t>
        </is>
      </c>
    </row>
    <row r="39">
      <c r="A39" s="6" t="inlineStr">
        <is>
          <t>Template B: Charge Weight Ladder</t>
        </is>
      </c>
    </row>
    <row r="40">
      <c r="A40" t="inlineStr">
        <is>
          <t>Purpose: Test multiple powder charges systematically</t>
        </is>
      </c>
    </row>
    <row r="41">
      <c r="A41" t="inlineStr">
        <is>
          <t>Data Required: 10-30 shots per charge, 3-6 different charges</t>
        </is>
      </c>
    </row>
    <row r="42">
      <c r="A42" t="inlineStr">
        <is>
          <t>Columns: Shot, Charge, Velocity</t>
        </is>
      </c>
    </row>
    <row r="43">
      <c r="A43" t="inlineStr">
        <is>
          <t>Use For: Finding optimal charge weight, initial screening</t>
        </is>
      </c>
    </row>
    <row r="44">
      <c r="A44" s="7" t="inlineStr">
        <is>
          <t>⚠ WARNING: Use for screening only. Validate winners with 30+ shots!</t>
        </is>
      </c>
    </row>
    <row r="46">
      <c r="A46" s="6" t="inlineStr">
        <is>
          <t>Template C: Before/After Modification</t>
        </is>
      </c>
    </row>
    <row r="47">
      <c r="A47" t="inlineStr">
        <is>
          <t>Purpose: Evaluate the impact of a single component change</t>
        </is>
      </c>
    </row>
    <row r="48">
      <c r="A48" t="inlineStr">
        <is>
          <t>Data Required: 20-30 shots before, 20-30 shots after</t>
        </is>
      </c>
    </row>
    <row r="49">
      <c r="A49" t="inlineStr">
        <is>
          <t>Columns: Shot, Condition, Velocity</t>
        </is>
      </c>
    </row>
    <row r="50">
      <c r="A50" t="inlineStr">
        <is>
          <t>Use For: Barrel cleaning effects, tuner additions, brass lot changes</t>
        </is>
      </c>
    </row>
    <row r="52">
      <c r="A52" s="4" t="inlineStr">
        <is>
          <t>Understanding the Statistics</t>
        </is>
      </c>
    </row>
    <row r="54">
      <c r="A54" s="5" t="inlineStr">
        <is>
          <t>Mean: Average velocity (the center of your data)
SD (Standard Deviation): How spread out velocities are (lower is more consistent)
ES (Extreme Spread): Max velocity minus min velocity
95% CI: We're 95% confident the true mean is within this range
P-value: Probability the difference is random (&lt; 0.05 means real difference)
Cohen's d: Effect size (&lt; 0.2 tiny, 0.2-0.5 small, 0.5-0.8 medium, &gt; 0.8 large)</t>
        </is>
      </c>
    </row>
    <row r="55"/>
    <row r="56"/>
    <row r="57"/>
    <row r="58"/>
    <row r="59"/>
    <row r="60"/>
    <row r="62">
      <c r="A62" s="4" t="inlineStr">
        <is>
          <t>Best Practices</t>
        </is>
      </c>
    </row>
    <row r="64">
      <c r="A64" s="5" t="inlineStr">
        <is>
          <t>✓ Include ALL shots (even flyers) - don't cherry-pick data
✓ Use equal sample sizes when comparing loads
✓ Test on the same day when possible (minimize environmental differences)
✓ Shoot 30+ shots per load for valid SD comparisons
✓ Document conditions (temperature, barrel fouling, lot numbers)
✓ Save completed templates with descriptive names (e.g., "2024-03-15_CCI_vs_Federal.xlsx")
✗ DON'T judge by best groups - use averages
✗ DON'T stop early because results look good
✗ DON'T test multiple variables at once
✗ DON'T trust ladder tests with &lt; 20 shots per charge</t>
        </is>
      </c>
    </row>
    <row r="65"/>
    <row r="66"/>
    <row r="67"/>
    <row r="68"/>
    <row r="69"/>
    <row r="70"/>
    <row r="71"/>
    <row r="72"/>
    <row r="73"/>
    <row r="74"/>
    <row r="75"/>
    <row r="76"/>
    <row r="78">
      <c r="A78" s="4" t="inlineStr">
        <is>
          <t>Troubleshooting</t>
        </is>
      </c>
    </row>
    <row r="80">
      <c r="A80" s="5" t="inlineStr">
        <is>
          <t>#DIV/0! error: Not enough data entered. Enter at least 10 data points.
#VALUE! error: Non-numeric data in Velocity column. Check for text entries.
Charts not updating: Right-click chart → Refresh Data
Formula protection: Sheets are protected. Unlock with password "reloading" if needed.
Dropdowns not working: Make sure data validation is enabled (it should be by default)
For additional help, refer to Lesson 08 of the Data-Driven Reloading curriculum.</t>
        </is>
      </c>
    </row>
    <row r="81"/>
    <row r="82"/>
    <row r="83"/>
    <row r="84"/>
    <row r="85"/>
    <row r="86"/>
    <row r="87"/>
    <row r="88"/>
  </sheetData>
  <mergeCells count="6">
    <mergeCell ref="A4:H10"/>
    <mergeCell ref="A64:H76"/>
    <mergeCell ref="A13:H29"/>
    <mergeCell ref="A54:H60"/>
    <mergeCell ref="A1:H1"/>
    <mergeCell ref="A80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5" max="5"/>
    <col width="15" customWidth="1" min="6" max="6"/>
    <col width="15" customWidth="1" min="7" max="7"/>
  </cols>
  <sheetData>
    <row r="1" ht="25" customHeight="1">
      <c r="A1" s="8" t="inlineStr">
        <is>
          <t>Template A: Two-Load Comparison - Enter your data in columns A-C below</t>
        </is>
      </c>
    </row>
    <row r="3">
      <c r="A3" s="9" t="inlineStr">
        <is>
          <t>DATA ENTRY</t>
        </is>
      </c>
      <c r="E3" s="9" t="inlineStr">
        <is>
          <t>STATISTICS SUMMARY</t>
        </is>
      </c>
    </row>
    <row r="4">
      <c r="A4" s="10" t="inlineStr">
        <is>
          <t>Shot</t>
        </is>
      </c>
      <c r="B4" s="10" t="inlineStr">
        <is>
          <t>Load</t>
        </is>
      </c>
      <c r="C4" s="10" t="inlineStr">
        <is>
          <t>Velocity (fps)</t>
        </is>
      </c>
    </row>
    <row r="5">
      <c r="A5" s="11" t="n">
        <v>1</v>
      </c>
      <c r="B5" s="12" t="inlineStr">
        <is>
          <t>CCI</t>
        </is>
      </c>
      <c r="C5" s="13" t="n">
        <v>2850</v>
      </c>
      <c r="E5" s="10" t="inlineStr">
        <is>
          <t>Metric</t>
        </is>
      </c>
      <c r="F5" s="10" t="inlineStr">
        <is>
          <t>Load A</t>
        </is>
      </c>
      <c r="G5" s="10" t="inlineStr">
        <is>
          <t>Load B</t>
        </is>
      </c>
    </row>
    <row r="6">
      <c r="A6" s="14" t="n">
        <v>2</v>
      </c>
      <c r="B6" s="15" t="inlineStr">
        <is>
          <t>CCI</t>
        </is>
      </c>
      <c r="C6" s="16" t="n">
        <v>2855</v>
      </c>
      <c r="E6" s="17" t="inlineStr">
        <is>
          <t>Sample Size (n)</t>
        </is>
      </c>
      <c r="F6" s="18">
        <f>COUNTIF(B5:B64,"Load_A")</f>
        <v/>
      </c>
      <c r="G6" s="18">
        <f>COUNTIF(B5:B64,"Load_B")</f>
        <v/>
      </c>
    </row>
    <row r="7">
      <c r="A7" s="11" t="n">
        <v>3</v>
      </c>
      <c r="B7" s="12" t="inlineStr">
        <is>
          <t>CCI</t>
        </is>
      </c>
      <c r="C7" s="13" t="n">
        <v>2848</v>
      </c>
      <c r="E7" s="17" t="inlineStr">
        <is>
          <t>Mean Velocity (fps)</t>
        </is>
      </c>
      <c r="F7" s="19">
        <f>IFERROR(AVERAGE(IF(B5:B64="Load_A",C5:C64)),"")</f>
        <v/>
      </c>
      <c r="G7" s="19">
        <f>IFERROR(AVERAGE(IF(B5:B64="Load_B",C5:C64)),"")</f>
        <v/>
      </c>
    </row>
    <row r="8">
      <c r="A8" s="14" t="n">
        <v>4</v>
      </c>
      <c r="B8" s="15" t="inlineStr">
        <is>
          <t>CCI</t>
        </is>
      </c>
      <c r="C8" s="16" t="n">
        <v>2852</v>
      </c>
      <c r="E8" s="17" t="inlineStr">
        <is>
          <t>Std Dev (fps)</t>
        </is>
      </c>
      <c r="F8" s="19">
        <f>IFERROR(STDEV.S(IF(B5:B64="Load_A",C5:C64)),"")</f>
        <v/>
      </c>
      <c r="G8" s="19">
        <f>IFERROR(STDEV.S(IF(B5:B64="Load_B",C5:C64)),"")</f>
        <v/>
      </c>
    </row>
    <row r="9">
      <c r="A9" s="11" t="n">
        <v>5</v>
      </c>
      <c r="B9" s="12" t="inlineStr">
        <is>
          <t>CCI</t>
        </is>
      </c>
      <c r="C9" s="13" t="n">
        <v>2851</v>
      </c>
      <c r="E9" s="17" t="inlineStr">
        <is>
          <t>Extreme Spread (fps)</t>
        </is>
      </c>
      <c r="F9" s="19">
        <f>IFERROR(MAX(IF(B5:B64="Load_A",C5:C64))-MIN(IF(B5:B64="Load_A",C5:C64)),"")</f>
        <v/>
      </c>
      <c r="G9" s="19">
        <f>IFERROR(MAX(IF(B5:B64="Load_B",C5:C64))-MIN(IF(B5:B64="Load_B",C5:C64)),"")</f>
        <v/>
      </c>
    </row>
    <row r="10">
      <c r="A10" s="14" t="n">
        <v>6</v>
      </c>
      <c r="B10" s="15" t="inlineStr">
        <is>
          <t>CCI</t>
        </is>
      </c>
      <c r="C10" s="16" t="n">
        <v>2849</v>
      </c>
      <c r="E10" s="17" t="inlineStr">
        <is>
          <t>95% CI (±fps)</t>
        </is>
      </c>
      <c r="F10" s="19">
        <f>IFERROR(1.96*(F8/SQRT(F6)),"")</f>
        <v/>
      </c>
      <c r="G10" s="19">
        <f>IFERROR(1.96*(F8/SQRT(F6)),"")</f>
        <v/>
      </c>
    </row>
    <row r="11">
      <c r="A11" s="11" t="n">
        <v>7</v>
      </c>
      <c r="B11" s="12" t="inlineStr">
        <is>
          <t>CCI</t>
        </is>
      </c>
      <c r="C11" s="13" t="n">
        <v>2853</v>
      </c>
      <c r="E11" s="17" t="inlineStr">
        <is>
          <t>Min Velocity (fps)</t>
        </is>
      </c>
      <c r="F11" s="19">
        <f>IFERROR(MIN(IF(B5:B64="Load_A",C5:C64)),"")</f>
        <v/>
      </c>
      <c r="G11" s="19">
        <f>IFERROR(MIN(IF(B5:B64="Load_B",C5:C64)),"")</f>
        <v/>
      </c>
    </row>
    <row r="12">
      <c r="A12" s="14" t="n">
        <v>8</v>
      </c>
      <c r="B12" s="15" t="inlineStr">
        <is>
          <t>CCI</t>
        </is>
      </c>
      <c r="C12" s="16" t="n">
        <v>2850</v>
      </c>
      <c r="E12" s="17" t="inlineStr">
        <is>
          <t>Max Velocity (fps)</t>
        </is>
      </c>
      <c r="F12" s="19">
        <f>IFERROR(MAX(IF(B5:B64="Load_A",C5:C64)),"")</f>
        <v/>
      </c>
      <c r="G12" s="19">
        <f>IFERROR(MAX(IF(B5:B64="Load_B",C5:C64)),"")</f>
        <v/>
      </c>
    </row>
    <row r="13">
      <c r="A13" s="11" t="n">
        <v>9</v>
      </c>
      <c r="B13" s="12" t="inlineStr">
        <is>
          <t>CCI</t>
        </is>
      </c>
      <c r="C13" s="13" t="n">
        <v>2854</v>
      </c>
    </row>
    <row r="14">
      <c r="A14" s="14" t="n">
        <v>10</v>
      </c>
      <c r="B14" s="15" t="inlineStr">
        <is>
          <t>CCI</t>
        </is>
      </c>
      <c r="C14" s="16" t="n">
        <v>2847</v>
      </c>
    </row>
    <row r="15">
      <c r="A15" s="11" t="n">
        <v>11</v>
      </c>
      <c r="B15" s="12" t="inlineStr">
        <is>
          <t>CCI</t>
        </is>
      </c>
      <c r="C15" s="13" t="n">
        <v>2852</v>
      </c>
      <c r="E15" s="9" t="inlineStr">
        <is>
          <t>COMPARISON</t>
        </is>
      </c>
    </row>
    <row r="16">
      <c r="A16" s="14" t="n">
        <v>12</v>
      </c>
      <c r="B16" s="15" t="inlineStr">
        <is>
          <t>CCI</t>
        </is>
      </c>
      <c r="C16" s="16" t="n">
        <v>2851</v>
      </c>
    </row>
    <row r="17">
      <c r="A17" s="11" t="n">
        <v>13</v>
      </c>
      <c r="B17" s="12" t="inlineStr">
        <is>
          <t>CCI</t>
        </is>
      </c>
      <c r="C17" s="13" t="n">
        <v>2850</v>
      </c>
      <c r="E17" t="inlineStr">
        <is>
          <t>Difference in Means (fps)</t>
        </is>
      </c>
      <c r="F17" s="20">
        <f>IFERROR(ABS(G7-F7),"")</f>
        <v/>
      </c>
    </row>
    <row r="18">
      <c r="A18" s="14" t="n">
        <v>14</v>
      </c>
      <c r="B18" s="15" t="inlineStr">
        <is>
          <t>CCI</t>
        </is>
      </c>
      <c r="C18" s="16" t="n">
        <v>2856</v>
      </c>
      <c r="E18" t="inlineStr">
        <is>
          <t>Difference in SD (fps)</t>
        </is>
      </c>
      <c r="F18" s="20">
        <f>IFERROR(ABS(G8-F8),"")</f>
        <v/>
      </c>
    </row>
    <row r="19">
      <c r="A19" s="11" t="n">
        <v>15</v>
      </c>
      <c r="B19" s="12" t="inlineStr">
        <is>
          <t>CCI</t>
        </is>
      </c>
      <c r="C19" s="13" t="n">
        <v>2849</v>
      </c>
      <c r="E19" t="inlineStr">
        <is>
          <t>T-test P-value</t>
        </is>
      </c>
      <c r="F19" s="21">
        <f>IFERROR(T.TEST(IF(B5:B64="Load_A",C5:C64),IF(B5:B64="Load_B",C5:C64),2,2),"")</f>
        <v/>
      </c>
    </row>
    <row r="20">
      <c r="A20" s="14" t="n">
        <v>16</v>
      </c>
      <c r="B20" s="15" t="inlineStr">
        <is>
          <t>CCI</t>
        </is>
      </c>
      <c r="C20" s="16" t="n">
        <v>2851</v>
      </c>
      <c r="E20" t="inlineStr">
        <is>
          <t>Cohen's d (Effect Size)</t>
        </is>
      </c>
      <c r="F20" s="22">
        <f>IFERROR((G7-F7)/SQRT(((F6-1)*F8^2+(G6-1)*G8^2)/(F6+G6-2)),"")</f>
        <v/>
      </c>
    </row>
    <row r="21">
      <c r="A21" s="11" t="n">
        <v>17</v>
      </c>
      <c r="B21" s="12" t="inlineStr">
        <is>
          <t>CCI</t>
        </is>
      </c>
      <c r="C21" s="13" t="n">
        <v>2853</v>
      </c>
    </row>
    <row r="22">
      <c r="A22" s="14" t="n">
        <v>18</v>
      </c>
      <c r="B22" s="15" t="inlineStr">
        <is>
          <t>CCI</t>
        </is>
      </c>
      <c r="C22" s="16" t="n">
        <v>2850</v>
      </c>
    </row>
    <row r="23">
      <c r="A23" s="11" t="n">
        <v>19</v>
      </c>
      <c r="B23" s="12" t="inlineStr">
        <is>
          <t>CCI</t>
        </is>
      </c>
      <c r="C23" s="13" t="n">
        <v>2848</v>
      </c>
      <c r="E23" s="9" t="inlineStr">
        <is>
          <t>INTERPRETATION</t>
        </is>
      </c>
    </row>
    <row r="24">
      <c r="A24" s="14" t="n">
        <v>20</v>
      </c>
      <c r="B24" s="15" t="inlineStr">
        <is>
          <t>CCI</t>
        </is>
      </c>
      <c r="C24" s="16" t="n">
        <v>2852</v>
      </c>
    </row>
    <row r="25">
      <c r="A25" s="11" t="n">
        <v>21</v>
      </c>
      <c r="B25" s="12" t="inlineStr">
        <is>
          <t>CCI</t>
        </is>
      </c>
      <c r="C25" s="13" t="n">
        <v>2851</v>
      </c>
      <c r="E25" s="23" t="inlineStr">
        <is>
          <t>Velocity Difference:</t>
        </is>
      </c>
    </row>
    <row r="26">
      <c r="A26" s="14" t="n">
        <v>22</v>
      </c>
      <c r="B26" s="15" t="inlineStr">
        <is>
          <t>CCI</t>
        </is>
      </c>
      <c r="C26" s="16" t="n">
        <v>2850</v>
      </c>
      <c r="E26" s="24">
        <f>IF(F17="","Enter data to see interpretation",IF(F17&lt;5,"✓ NEGLIGIBLE (" &amp; TEXT(F17,"0.0") &amp; " fps) - Won''t matter at any distance",IF(F17&lt;15,"⚠ SMALL (" &amp; TEXT(F17,"0.0") &amp; " fps) - Matters only at extreme long range (&gt;1000 yds)","★ MEANINGFUL (" &amp; TEXT(F17,"0.0") &amp; " fps) - Will affect trajectory at long range")))</f>
        <v/>
      </c>
    </row>
    <row r="27">
      <c r="A27" s="11" t="n">
        <v>23</v>
      </c>
      <c r="B27" s="12" t="inlineStr">
        <is>
          <t>CCI</t>
        </is>
      </c>
      <c r="C27" s="13" t="n">
        <v>2854</v>
      </c>
    </row>
    <row r="28">
      <c r="A28" s="14" t="n">
        <v>24</v>
      </c>
      <c r="B28" s="15" t="inlineStr">
        <is>
          <t>CCI</t>
        </is>
      </c>
      <c r="C28" s="16" t="n">
        <v>2849</v>
      </c>
      <c r="E28" s="23" t="inlineStr">
        <is>
          <t>SD Difference:</t>
        </is>
      </c>
    </row>
    <row r="29">
      <c r="A29" s="11" t="n">
        <v>25</v>
      </c>
      <c r="B29" s="12" t="inlineStr">
        <is>
          <t>CCI</t>
        </is>
      </c>
      <c r="C29" s="13" t="n">
        <v>2852</v>
      </c>
      <c r="E29" s="25">
        <f>IF(F18="","Enter data to see interpretation",IF(F18&lt;2,"✓ NEGLIGIBLE (" &amp; TEXT(F18,"0.0") &amp; " fps) - Essentially same consistency",IF(F18&lt;5,"⚠ SMALL (" &amp; TEXT(F18,"0.0") &amp; " fps) - Slight difference, both reasonable","★ MEANINGFUL (" &amp; TEXT(F18,"0.0") &amp; " fps) - Noticeably different consistency")))</f>
        <v/>
      </c>
    </row>
    <row r="30">
      <c r="A30" s="14" t="n">
        <v>26</v>
      </c>
      <c r="B30" s="15" t="inlineStr">
        <is>
          <t>CCI</t>
        </is>
      </c>
      <c r="C30" s="16" t="n">
        <v>2851</v>
      </c>
    </row>
    <row r="31">
      <c r="A31" s="11" t="n">
        <v>27</v>
      </c>
      <c r="B31" s="12" t="inlineStr">
        <is>
          <t>CCI</t>
        </is>
      </c>
      <c r="C31" s="13" t="n">
        <v>2853</v>
      </c>
      <c r="E31" s="23" t="inlineStr">
        <is>
          <t>Statistical Significance:</t>
        </is>
      </c>
    </row>
    <row r="32">
      <c r="A32" s="14" t="n">
        <v>28</v>
      </c>
      <c r="B32" s="15" t="inlineStr">
        <is>
          <t>CCI</t>
        </is>
      </c>
      <c r="C32" s="16" t="n">
        <v>2850</v>
      </c>
      <c r="E32" s="25">
        <f>IF(F19="","Enter data to see interpretation",IF(F19&lt;0.05,"★ SIGNIFICANT (p=" &amp; TEXT(F19,"0.0000") &amp; ") - Difference unlikely to be random","✓ NOT SIGNIFICANT (p=" &amp; TEXT(F19,"0.0000") &amp; ") - Could be random variation"))</f>
        <v/>
      </c>
    </row>
    <row r="33">
      <c r="A33" s="11" t="n">
        <v>29</v>
      </c>
      <c r="B33" s="12" t="inlineStr">
        <is>
          <t>CCI</t>
        </is>
      </c>
      <c r="C33" s="13" t="n">
        <v>2855</v>
      </c>
    </row>
    <row r="34">
      <c r="A34" s="14" t="n">
        <v>30</v>
      </c>
      <c r="B34" s="15" t="inlineStr">
        <is>
          <t>CCI</t>
        </is>
      </c>
      <c r="C34" s="16" t="n">
        <v>2848</v>
      </c>
      <c r="E34" s="23" t="inlineStr">
        <is>
          <t>Effect Size:</t>
        </is>
      </c>
    </row>
    <row r="35">
      <c r="A35" s="11" t="n">
        <v>31</v>
      </c>
      <c r="B35" s="12" t="inlineStr">
        <is>
          <t>Federal</t>
        </is>
      </c>
      <c r="C35" s="13" t="n">
        <v>2863</v>
      </c>
      <c r="E35" s="25">
        <f>IF(F20="","Enter data to see interpretation",IF(ABS(F20)&lt;0.2,"✓ TINY (d=" &amp; TEXT(ABS(F20),"0.000") &amp; ") - Minimal practical difference",IF(ABS(F20)&lt;0.5,"⚠ SMALL (d=" &amp; TEXT(ABS(F20),"0.000") &amp; ") - Detectable but not dramatic","★ MEDIUM/LARGE (d=" &amp; TEXT(ABS(F20),"0.000") &amp; ") - Substantial practical difference")))</f>
        <v/>
      </c>
    </row>
    <row r="36">
      <c r="A36" s="14" t="n">
        <v>32</v>
      </c>
      <c r="B36" s="15" t="inlineStr">
        <is>
          <t>Federal</t>
        </is>
      </c>
      <c r="C36" s="16" t="n">
        <v>2858</v>
      </c>
    </row>
    <row r="37">
      <c r="A37" s="11" t="n">
        <v>33</v>
      </c>
      <c r="B37" s="12" t="inlineStr">
        <is>
          <t>Federal</t>
        </is>
      </c>
      <c r="C37" s="13" t="n">
        <v>2861</v>
      </c>
    </row>
    <row r="38">
      <c r="A38" s="14" t="n">
        <v>34</v>
      </c>
      <c r="B38" s="15" t="inlineStr">
        <is>
          <t>Federal</t>
        </is>
      </c>
      <c r="C38" s="16" t="n">
        <v>2860</v>
      </c>
      <c r="E38" s="26" t="inlineStr">
        <is>
          <t>RECOMMENDATION</t>
        </is>
      </c>
    </row>
    <row r="39">
      <c r="A39" s="11" t="n">
        <v>35</v>
      </c>
      <c r="B39" s="12" t="inlineStr">
        <is>
          <t>Federal</t>
        </is>
      </c>
      <c r="C39" s="13" t="n">
        <v>2862</v>
      </c>
    </row>
    <row r="40" ht="60" customHeight="1">
      <c r="A40" s="14" t="n">
        <v>36</v>
      </c>
      <c r="B40" s="15" t="inlineStr">
        <is>
          <t>Federal</t>
        </is>
      </c>
      <c r="C40" s="16" t="n">
        <v>2859</v>
      </c>
      <c r="E40" s="25">
        <f>IF(F19="","Enter data to see recommendation",IF(OR(F19&gt;=0.05,ABS(F20)&lt;0.2),"➤ VERDICT: No meaningful difference detected. Either load works fine. Choose by cost/availability.",IF(AND(F19&lt;0.05,ABS(F20)&gt;=0.2,ABS(F20)&lt;0.5),"➤ VERDICT: Small but real difference detected. Switch if shooting long range (&gt;600 yds) or if better load is same price. Otherwise, current load is fine.","➤ VERDICT: Clear, meaningful difference detected. The better-performing load shows substantial improvement. Recommend switching if not using it already.")))</f>
        <v/>
      </c>
    </row>
    <row r="41">
      <c r="A41" s="11" t="n">
        <v>37</v>
      </c>
      <c r="B41" s="12" t="inlineStr">
        <is>
          <t>Federal</t>
        </is>
      </c>
      <c r="C41" s="13" t="n">
        <v>2861</v>
      </c>
    </row>
    <row r="42">
      <c r="A42" s="14" t="n">
        <v>38</v>
      </c>
      <c r="B42" s="15" t="inlineStr">
        <is>
          <t>Federal</t>
        </is>
      </c>
      <c r="C42" s="16" t="n">
        <v>2863</v>
      </c>
    </row>
    <row r="43">
      <c r="A43" s="11" t="n">
        <v>39</v>
      </c>
      <c r="B43" s="12" t="inlineStr">
        <is>
          <t>Federal</t>
        </is>
      </c>
      <c r="C43" s="13" t="n">
        <v>2860</v>
      </c>
      <c r="E43" s="27" t="inlineStr">
        <is>
          <t>📊 Charts would appear on the right (Columns J-T) showing:</t>
        </is>
      </c>
    </row>
    <row r="44">
      <c r="A44" s="14" t="n">
        <v>40</v>
      </c>
      <c r="B44" s="15" t="inlineStr">
        <is>
          <t>Federal</t>
        </is>
      </c>
      <c r="C44" s="16" t="n">
        <v>2859</v>
      </c>
      <c r="E44" s="28" t="inlineStr">
        <is>
          <t>1. Overlapping histograms</t>
        </is>
      </c>
    </row>
    <row r="45">
      <c r="A45" s="11" t="n">
        <v>41</v>
      </c>
      <c r="B45" s="12" t="inlineStr">
        <is>
          <t>Federal</t>
        </is>
      </c>
      <c r="C45" s="13" t="n">
        <v>2862</v>
      </c>
      <c r="E45" s="28" t="inlineStr">
        <is>
          <t>2. Box plots with individual points</t>
        </is>
      </c>
    </row>
    <row r="46">
      <c r="A46" s="14" t="n">
        <v>42</v>
      </c>
      <c r="B46" s="15" t="inlineStr">
        <is>
          <t>Federal</t>
        </is>
      </c>
      <c r="C46" s="16" t="n">
        <v>2861</v>
      </c>
      <c r="E46" s="28" t="inlineStr">
        <is>
          <t>3. Mean velocities with 95% CI error bars</t>
        </is>
      </c>
    </row>
    <row r="47">
      <c r="A47" s="11" t="n">
        <v>43</v>
      </c>
      <c r="B47" s="12" t="inlineStr">
        <is>
          <t>Federal</t>
        </is>
      </c>
      <c r="C47" s="13" t="n">
        <v>2860</v>
      </c>
      <c r="E47" s="28" t="inlineStr">
        <is>
          <t>4. Sequential velocity plot (velocity vs shot number)</t>
        </is>
      </c>
    </row>
    <row r="48">
      <c r="A48" s="14" t="n">
        <v>44</v>
      </c>
      <c r="B48" s="15" t="inlineStr">
        <is>
          <t>Federal</t>
        </is>
      </c>
      <c r="C48" s="16" t="n">
        <v>2864</v>
      </c>
    </row>
    <row r="49">
      <c r="A49" s="11" t="n">
        <v>45</v>
      </c>
      <c r="B49" s="12" t="inlineStr">
        <is>
          <t>Federal</t>
        </is>
      </c>
      <c r="C49" s="13" t="n">
        <v>2859</v>
      </c>
    </row>
    <row r="50">
      <c r="A50" s="14" t="n">
        <v>46</v>
      </c>
      <c r="B50" s="15" t="inlineStr">
        <is>
          <t>Federal</t>
        </is>
      </c>
      <c r="C50" s="16" t="n">
        <v>2861</v>
      </c>
    </row>
    <row r="51">
      <c r="A51" s="11" t="n">
        <v>47</v>
      </c>
      <c r="B51" s="12" t="inlineStr">
        <is>
          <t>Federal</t>
        </is>
      </c>
      <c r="C51" s="13" t="n">
        <v>2862</v>
      </c>
    </row>
    <row r="52">
      <c r="A52" s="14" t="n">
        <v>48</v>
      </c>
      <c r="B52" s="15" t="inlineStr">
        <is>
          <t>Federal</t>
        </is>
      </c>
      <c r="C52" s="16" t="n">
        <v>2860</v>
      </c>
    </row>
    <row r="53">
      <c r="A53" s="11" t="n">
        <v>49</v>
      </c>
      <c r="B53" s="12" t="inlineStr">
        <is>
          <t>Federal</t>
        </is>
      </c>
      <c r="C53" s="13" t="n">
        <v>2858</v>
      </c>
    </row>
    <row r="54">
      <c r="A54" s="14" t="n">
        <v>50</v>
      </c>
      <c r="B54" s="15" t="inlineStr">
        <is>
          <t>Federal</t>
        </is>
      </c>
      <c r="C54" s="16" t="n">
        <v>2863</v>
      </c>
    </row>
    <row r="55">
      <c r="A55" s="11" t="n">
        <v>51</v>
      </c>
      <c r="B55" s="12" t="inlineStr">
        <is>
          <t>Federal</t>
        </is>
      </c>
      <c r="C55" s="13" t="n">
        <v>2861</v>
      </c>
    </row>
    <row r="56">
      <c r="A56" s="14" t="n">
        <v>52</v>
      </c>
      <c r="B56" s="15" t="inlineStr">
        <is>
          <t>Federal</t>
        </is>
      </c>
      <c r="C56" s="16" t="n">
        <v>2860</v>
      </c>
    </row>
    <row r="57">
      <c r="A57" s="11" t="n">
        <v>53</v>
      </c>
      <c r="B57" s="12" t="inlineStr">
        <is>
          <t>Federal</t>
        </is>
      </c>
      <c r="C57" s="13" t="n">
        <v>2862</v>
      </c>
    </row>
    <row r="58">
      <c r="A58" s="14" t="n">
        <v>54</v>
      </c>
      <c r="B58" s="15" t="inlineStr">
        <is>
          <t>Federal</t>
        </is>
      </c>
      <c r="C58" s="16" t="n">
        <v>2859</v>
      </c>
    </row>
    <row r="59">
      <c r="A59" s="11" t="n">
        <v>55</v>
      </c>
      <c r="B59" s="12" t="inlineStr">
        <is>
          <t>Federal</t>
        </is>
      </c>
      <c r="C59" s="13" t="n">
        <v>2861</v>
      </c>
    </row>
    <row r="60">
      <c r="A60" s="14" t="n">
        <v>56</v>
      </c>
      <c r="B60" s="15" t="inlineStr">
        <is>
          <t>Federal</t>
        </is>
      </c>
      <c r="C60" s="16" t="n">
        <v>2863</v>
      </c>
    </row>
    <row r="61">
      <c r="A61" s="11" t="n">
        <v>57</v>
      </c>
      <c r="B61" s="12" t="inlineStr">
        <is>
          <t>Federal</t>
        </is>
      </c>
      <c r="C61" s="13" t="n">
        <v>2862</v>
      </c>
    </row>
    <row r="62">
      <c r="A62" s="14" t="n">
        <v>58</v>
      </c>
      <c r="B62" s="15" t="inlineStr">
        <is>
          <t>Federal</t>
        </is>
      </c>
      <c r="C62" s="16" t="n">
        <v>2860</v>
      </c>
    </row>
    <row r="63">
      <c r="A63" s="11" t="n">
        <v>59</v>
      </c>
      <c r="B63" s="12" t="inlineStr">
        <is>
          <t>Federal</t>
        </is>
      </c>
      <c r="C63" s="13" t="n">
        <v>2861</v>
      </c>
    </row>
    <row r="64">
      <c r="A64" s="14" t="n">
        <v>60</v>
      </c>
      <c r="B64" s="15" t="inlineStr">
        <is>
          <t>Federal</t>
        </is>
      </c>
      <c r="C64" s="16" t="n">
        <v>2859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2">
    <mergeCell ref="A1:T1"/>
    <mergeCell ref="E26:G27"/>
  </mergeCells>
  <dataValidations count="2">
    <dataValidation sqref="B5:B64" showDropDown="0" showInputMessage="0" showErrorMessage="0" allowBlank="0" errorTitle="Invalid Load" error="Invalid entry" promptTitle="Load Selection" prompt="Choose Load_A or Load_B" type="list">
      <formula1>"Load_A,Load_B"</formula1>
    </dataValidation>
    <dataValidation sqref="C5:C64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8" t="inlineStr">
        <is>
          <t>Template B: Charge Weight Ladder - Test 3-6 powder charges with 10-30 shots each</t>
        </is>
      </c>
    </row>
    <row r="2" ht="20" customHeight="1">
      <c r="A2" s="29" t="inlineStr">
        <is>
          <t>⚠ WARNING: Use for initial screening only! Validate winners with 30+ shots before trusting results.</t>
        </is>
      </c>
    </row>
    <row r="4">
      <c r="A4" s="9" t="inlineStr">
        <is>
          <t>DATA ENTRY</t>
        </is>
      </c>
      <c r="E4" s="9" t="inlineStr">
        <is>
          <t>PER-CHARGE STATISTICS</t>
        </is>
      </c>
    </row>
    <row r="5">
      <c r="A5" s="10" t="inlineStr">
        <is>
          <t>Shot</t>
        </is>
      </c>
      <c r="B5" s="10" t="inlineStr">
        <is>
          <t>Charge (gr)</t>
        </is>
      </c>
      <c r="C5" s="10" t="inlineStr">
        <is>
          <t>Velocity (fps)</t>
        </is>
      </c>
      <c r="E5" s="30" t="inlineStr">
        <is>
          <t>(Statistics calculated for each unique charge in your data)</t>
        </is>
      </c>
    </row>
    <row r="6">
      <c r="A6" s="11" t="n">
        <v>1</v>
      </c>
      <c r="B6" s="12" t="n">
        <v>41</v>
      </c>
      <c r="C6" s="13" t="n">
        <v>2720</v>
      </c>
    </row>
    <row r="7">
      <c r="A7" s="14" t="n">
        <v>2</v>
      </c>
      <c r="B7" s="15" t="n">
        <v>41</v>
      </c>
      <c r="C7" s="16" t="n">
        <v>2725</v>
      </c>
      <c r="E7" s="10" t="inlineStr">
        <is>
          <t>Charge</t>
        </is>
      </c>
      <c r="F7" s="10" t="inlineStr">
        <is>
          <t>n</t>
        </is>
      </c>
      <c r="G7" s="10" t="inlineStr">
        <is>
          <t>Mean</t>
        </is>
      </c>
      <c r="H7" s="10" t="inlineStr">
        <is>
          <t>SD</t>
        </is>
      </c>
      <c r="I7" s="10" t="inlineStr">
        <is>
          <t>ES</t>
        </is>
      </c>
      <c r="J7" s="10" t="inlineStr">
        <is>
          <t>Min</t>
        </is>
      </c>
      <c r="K7" s="10" t="inlineStr">
        <is>
          <t>Max</t>
        </is>
      </c>
    </row>
    <row r="8">
      <c r="A8" s="11" t="n">
        <v>3</v>
      </c>
      <c r="B8" s="12" t="n">
        <v>41</v>
      </c>
      <c r="C8" s="13" t="n">
        <v>2718</v>
      </c>
      <c r="E8" s="31" t="inlineStr">
        <is>
          <t>Note: Statistics auto-calculate for unique charges in your data</t>
        </is>
      </c>
    </row>
    <row r="9">
      <c r="A9" s="14" t="n">
        <v>4</v>
      </c>
      <c r="B9" s="15" t="n">
        <v>41</v>
      </c>
      <c r="C9" s="16" t="n">
        <v>2722</v>
      </c>
      <c r="E9" s="32" t="n">
        <v>41</v>
      </c>
      <c r="F9" s="32">
        <f>COUNTIF(B6:B185,41.0)</f>
        <v/>
      </c>
      <c r="G9" s="19">
        <f>AVERAGEIF(B6:B185,41.0,C6:C185)</f>
        <v/>
      </c>
      <c r="H9" s="19">
        <f>IFERROR(STDEV.S(IF(B6:B185=41.0,C6:C185)),"")</f>
        <v/>
      </c>
      <c r="I9" s="19">
        <f>IFERROR(MAX(IF(B6:B185=41.0,C6:C185))-MIN(IF(B6:B185=41.0,C6:C185)),"")</f>
        <v/>
      </c>
      <c r="J9" s="19">
        <f>IFERROR(MIN(IF(B6:B185=41.0,C6:C185)),"")</f>
        <v/>
      </c>
      <c r="K9" s="19">
        <f>IFERROR(MAX(IF(B6:B185=41.0,C6:C185)),"")</f>
        <v/>
      </c>
    </row>
    <row r="10">
      <c r="A10" s="11" t="n">
        <v>5</v>
      </c>
      <c r="B10" s="12" t="n">
        <v>41</v>
      </c>
      <c r="C10" s="13" t="n">
        <v>2721</v>
      </c>
      <c r="E10" s="32" t="n">
        <v>41.5</v>
      </c>
      <c r="F10" s="32">
        <f>COUNTIF(B6:B185,41.5)</f>
        <v/>
      </c>
      <c r="G10" s="19">
        <f>AVERAGEIF(B6:B185,41.5,C6:C185)</f>
        <v/>
      </c>
      <c r="H10" s="19">
        <f>IFERROR(STDEV.S(IF(B6:B185=41.5,C6:C185)),"")</f>
        <v/>
      </c>
      <c r="I10" s="19">
        <f>IFERROR(MAX(IF(B6:B185=41.5,C6:C185))-MIN(IF(B6:B185=41.5,C6:C185)),"")</f>
        <v/>
      </c>
      <c r="J10" s="19">
        <f>IFERROR(MIN(IF(B6:B185=41.5,C6:C185)),"")</f>
        <v/>
      </c>
      <c r="K10" s="19">
        <f>IFERROR(MAX(IF(B6:B185=41.5,C6:C185)),"")</f>
        <v/>
      </c>
    </row>
    <row r="11">
      <c r="A11" s="14" t="n">
        <v>6</v>
      </c>
      <c r="B11" s="15" t="n">
        <v>41</v>
      </c>
      <c r="C11" s="16" t="n">
        <v>2719</v>
      </c>
      <c r="E11" s="32" t="n">
        <v>42</v>
      </c>
      <c r="F11" s="32">
        <f>COUNTIF(B6:B185,42.0)</f>
        <v/>
      </c>
      <c r="G11" s="19">
        <f>AVERAGEIF(B6:B185,42.0,C6:C185)</f>
        <v/>
      </c>
      <c r="H11" s="19">
        <f>IFERROR(STDEV.S(IF(B6:B185=42.0,C6:C185)),"")</f>
        <v/>
      </c>
      <c r="I11" s="19">
        <f>IFERROR(MAX(IF(B6:B185=42.0,C6:C185))-MIN(IF(B6:B185=42.0,C6:C185)),"")</f>
        <v/>
      </c>
      <c r="J11" s="19">
        <f>IFERROR(MIN(IF(B6:B185=42.0,C6:C185)),"")</f>
        <v/>
      </c>
      <c r="K11" s="19">
        <f>IFERROR(MAX(IF(B6:B185=42.0,C6:C185)),"")</f>
        <v/>
      </c>
    </row>
    <row r="12">
      <c r="A12" s="11" t="n">
        <v>7</v>
      </c>
      <c r="B12" s="12" t="n">
        <v>41</v>
      </c>
      <c r="C12" s="13" t="n">
        <v>2723</v>
      </c>
    </row>
    <row r="13">
      <c r="A13" s="14" t="n">
        <v>8</v>
      </c>
      <c r="B13" s="15" t="n">
        <v>41</v>
      </c>
      <c r="C13" s="16" t="n">
        <v>2720</v>
      </c>
    </row>
    <row r="14">
      <c r="A14" s="11" t="n">
        <v>9</v>
      </c>
      <c r="B14" s="12" t="n">
        <v>41</v>
      </c>
      <c r="C14" s="13" t="n">
        <v>2724</v>
      </c>
    </row>
    <row r="15">
      <c r="A15" s="14" t="n">
        <v>10</v>
      </c>
      <c r="B15" s="15" t="n">
        <v>41</v>
      </c>
      <c r="C15" s="16" t="n">
        <v>2718</v>
      </c>
    </row>
    <row r="16">
      <c r="A16" s="11" t="n">
        <v>11</v>
      </c>
      <c r="B16" s="12" t="n">
        <v>41.5</v>
      </c>
      <c r="C16" s="13" t="n">
        <v>2750</v>
      </c>
      <c r="E16" s="9" t="inlineStr">
        <is>
          <t>ANALYSIS</t>
        </is>
      </c>
    </row>
    <row r="17">
      <c r="A17" s="14" t="n">
        <v>12</v>
      </c>
      <c r="B17" s="15" t="n">
        <v>41.5</v>
      </c>
      <c r="C17" s="16" t="n">
        <v>2755</v>
      </c>
    </row>
    <row r="18">
      <c r="A18" s="11" t="n">
        <v>13</v>
      </c>
      <c r="B18" s="12" t="n">
        <v>41.5</v>
      </c>
      <c r="C18" s="13" t="n">
        <v>2748</v>
      </c>
      <c r="E18" s="23" t="inlineStr">
        <is>
          <t>Most Consistent Charge:</t>
        </is>
      </c>
      <c r="F18" s="20">
        <f>INDEX(E9:E11,MATCH(MIN(H9:H11),H9:H11,0))</f>
        <v/>
      </c>
      <c r="G18" t="inlineStr">
        <is>
          <t xml:space="preserve">grains (SD = </t>
        </is>
      </c>
      <c r="H18" s="20">
        <f>MIN(H9:H11)</f>
        <v/>
      </c>
      <c r="I18" t="inlineStr">
        <is>
          <t>fps)</t>
        </is>
      </c>
    </row>
    <row r="19">
      <c r="A19" s="14" t="n">
        <v>14</v>
      </c>
      <c r="B19" s="15" t="n">
        <v>41.5</v>
      </c>
      <c r="C19" s="16" t="n">
        <v>2752</v>
      </c>
    </row>
    <row r="20">
      <c r="A20" s="11" t="n">
        <v>15</v>
      </c>
      <c r="B20" s="12" t="n">
        <v>41.5</v>
      </c>
      <c r="C20" s="13" t="n">
        <v>2751</v>
      </c>
      <c r="E20" s="23" t="inlineStr">
        <is>
          <t>Sample Size Check:</t>
        </is>
      </c>
    </row>
    <row r="21" ht="40" customHeight="1">
      <c r="A21" s="14" t="n">
        <v>16</v>
      </c>
      <c r="B21" s="15" t="n">
        <v>41.5</v>
      </c>
      <c r="C21" s="16" t="n">
        <v>2749</v>
      </c>
      <c r="E21" s="7">
        <f>IF(MIN(F9:F11)&lt;20,"⚠ WARNING: Some charges have less than 20 shots! Results unreliable. Use for screening only.","✓ All charges have adequate sample sizes (20+ shots each)")</f>
        <v/>
      </c>
    </row>
    <row r="22">
      <c r="A22" s="11" t="n">
        <v>17</v>
      </c>
      <c r="B22" s="12" t="n">
        <v>41.5</v>
      </c>
      <c r="C22" s="13" t="n">
        <v>2753</v>
      </c>
    </row>
    <row r="23">
      <c r="A23" s="14" t="n">
        <v>18</v>
      </c>
      <c r="B23" s="15" t="n">
        <v>41.5</v>
      </c>
      <c r="C23" s="16" t="n">
        <v>2750</v>
      </c>
    </row>
    <row r="24">
      <c r="A24" s="11" t="n">
        <v>19</v>
      </c>
      <c r="B24" s="12" t="n">
        <v>41.5</v>
      </c>
      <c r="C24" s="13" t="n">
        <v>2754</v>
      </c>
      <c r="E24" s="26" t="inlineStr">
        <is>
          <t>RECOMMENDATION</t>
        </is>
      </c>
    </row>
    <row r="25">
      <c r="A25" s="14" t="n">
        <v>20</v>
      </c>
      <c r="B25" s="15" t="n">
        <v>41.5</v>
      </c>
      <c r="C25" s="16" t="n">
        <v>2748</v>
      </c>
    </row>
    <row r="26" ht="90" customHeight="1">
      <c r="A26" s="11" t="n">
        <v>21</v>
      </c>
      <c r="B26" s="12" t="n">
        <v>42</v>
      </c>
      <c r="C26" s="13" t="n">
        <v>2780</v>
      </c>
      <c r="E26" s="25" t="inlineStr">
        <is>
          <t>Based on this ladder test:
1. Note the charge with lowest SD
2. Validate with 30+ shots at that charge
3. Test group size (not just velocity) at the best charge
4. Check for pressure signs before regular use
Remember: Ladder tests with small samples are for screening only. What looks like a 'node' is often random variation.</t>
        </is>
      </c>
    </row>
    <row r="27">
      <c r="A27" s="14" t="n">
        <v>22</v>
      </c>
      <c r="B27" s="15" t="n">
        <v>42</v>
      </c>
      <c r="C27" s="16" t="n">
        <v>2785</v>
      </c>
    </row>
    <row r="28">
      <c r="A28" s="11" t="n">
        <v>23</v>
      </c>
      <c r="B28" s="12" t="n">
        <v>42</v>
      </c>
      <c r="C28" s="13" t="n">
        <v>2778</v>
      </c>
    </row>
    <row r="29">
      <c r="A29" s="14" t="n">
        <v>24</v>
      </c>
      <c r="B29" s="15" t="n">
        <v>42</v>
      </c>
      <c r="C29" s="16" t="n">
        <v>2782</v>
      </c>
    </row>
    <row r="30">
      <c r="A30" s="11" t="n">
        <v>25</v>
      </c>
      <c r="B30" s="12" t="n">
        <v>42</v>
      </c>
      <c r="C30" s="13" t="n">
        <v>2781</v>
      </c>
    </row>
    <row r="31">
      <c r="A31" s="14" t="n">
        <v>26</v>
      </c>
      <c r="B31" s="15" t="n">
        <v>42</v>
      </c>
      <c r="C31" s="16" t="n">
        <v>2779</v>
      </c>
    </row>
    <row r="32">
      <c r="A32" s="11" t="n">
        <v>27</v>
      </c>
      <c r="B32" s="12" t="n">
        <v>42</v>
      </c>
      <c r="C32" s="13" t="n">
        <v>2783</v>
      </c>
      <c r="E32" s="9" t="inlineStr">
        <is>
          <t>📊 Charts would show:</t>
        </is>
      </c>
    </row>
    <row r="33">
      <c r="A33" s="14" t="n">
        <v>28</v>
      </c>
      <c r="B33" s="15" t="n">
        <v>42</v>
      </c>
      <c r="C33" s="16" t="n">
        <v>2780</v>
      </c>
      <c r="E33" t="inlineStr">
        <is>
          <t>1. Mean velocity vs charge (with CI error bars)</t>
        </is>
      </c>
    </row>
    <row r="34">
      <c r="A34" s="11" t="n">
        <v>29</v>
      </c>
      <c r="B34" s="12" t="n">
        <v>42</v>
      </c>
      <c r="C34" s="13" t="n">
        <v>2784</v>
      </c>
      <c r="E34" t="inlineStr">
        <is>
          <t>2. SD vs charge (with average line)</t>
        </is>
      </c>
    </row>
    <row r="35">
      <c r="A35" s="14" t="n">
        <v>30</v>
      </c>
      <c r="B35" s="15" t="n">
        <v>42</v>
      </c>
      <c r="C35" s="16" t="n">
        <v>2778</v>
      </c>
      <c r="E35" t="inlineStr">
        <is>
          <t>3. Box plots by charge</t>
        </is>
      </c>
    </row>
    <row r="36">
      <c r="A36" s="11" t="n"/>
      <c r="B36" s="12" t="n"/>
      <c r="C36" s="13" t="n"/>
      <c r="E36" t="inlineStr">
        <is>
          <t>4. All individual points with mean trend line</t>
        </is>
      </c>
    </row>
    <row r="37">
      <c r="A37" s="14" t="n"/>
      <c r="B37" s="15" t="n"/>
      <c r="C37" s="16" t="n"/>
    </row>
    <row r="38">
      <c r="A38" s="11" t="n"/>
      <c r="B38" s="12" t="n"/>
      <c r="C38" s="13" t="n"/>
    </row>
    <row r="39">
      <c r="A39" s="14" t="n"/>
      <c r="B39" s="15" t="n"/>
      <c r="C39" s="16" t="n"/>
    </row>
    <row r="40">
      <c r="A40" s="11" t="n"/>
      <c r="B40" s="12" t="n"/>
      <c r="C40" s="13" t="n"/>
    </row>
    <row r="41">
      <c r="A41" s="14" t="n"/>
      <c r="B41" s="15" t="n"/>
      <c r="C41" s="16" t="n"/>
    </row>
    <row r="42">
      <c r="A42" s="11" t="n"/>
      <c r="B42" s="12" t="n"/>
      <c r="C42" s="13" t="n"/>
    </row>
    <row r="43">
      <c r="A43" s="14" t="n"/>
      <c r="B43" s="15" t="n"/>
      <c r="C43" s="16" t="n"/>
    </row>
    <row r="44">
      <c r="A44" s="11" t="n"/>
      <c r="B44" s="12" t="n"/>
      <c r="C44" s="13" t="n"/>
    </row>
    <row r="45">
      <c r="A45" s="14" t="n"/>
      <c r="B45" s="15" t="n"/>
      <c r="C45" s="16" t="n"/>
    </row>
    <row r="46">
      <c r="A46" s="11" t="n"/>
      <c r="B46" s="12" t="n"/>
      <c r="C46" s="13" t="n"/>
    </row>
    <row r="47">
      <c r="A47" s="14" t="n"/>
      <c r="B47" s="15" t="n"/>
      <c r="C47" s="16" t="n"/>
    </row>
    <row r="48">
      <c r="A48" s="11" t="n"/>
      <c r="B48" s="12" t="n"/>
      <c r="C48" s="13" t="n"/>
    </row>
    <row r="49">
      <c r="A49" s="14" t="n"/>
      <c r="B49" s="15" t="n"/>
      <c r="C49" s="16" t="n"/>
    </row>
    <row r="50">
      <c r="A50" s="11" t="n"/>
      <c r="B50" s="12" t="n"/>
      <c r="C50" s="13" t="n"/>
    </row>
    <row r="51">
      <c r="A51" s="14" t="n"/>
      <c r="B51" s="15" t="n"/>
      <c r="C51" s="16" t="n"/>
    </row>
    <row r="52">
      <c r="A52" s="11" t="n"/>
      <c r="B52" s="12" t="n"/>
      <c r="C52" s="13" t="n"/>
    </row>
    <row r="53">
      <c r="A53" s="14" t="n"/>
      <c r="B53" s="15" t="n"/>
      <c r="C53" s="16" t="n"/>
    </row>
    <row r="54">
      <c r="A54" s="11" t="n"/>
      <c r="B54" s="12" t="n"/>
      <c r="C54" s="13" t="n"/>
    </row>
    <row r="55">
      <c r="A55" s="14" t="n"/>
      <c r="B55" s="15" t="n"/>
      <c r="C55" s="16" t="n"/>
    </row>
    <row r="56">
      <c r="A56" s="11" t="n"/>
      <c r="B56" s="12" t="n"/>
      <c r="C56" s="13" t="n"/>
    </row>
    <row r="57">
      <c r="A57" s="14" t="n"/>
      <c r="B57" s="15" t="n"/>
      <c r="C57" s="16" t="n"/>
    </row>
    <row r="58">
      <c r="A58" s="11" t="n"/>
      <c r="B58" s="12" t="n"/>
      <c r="C58" s="13" t="n"/>
    </row>
    <row r="59">
      <c r="A59" s="14" t="n"/>
      <c r="B59" s="15" t="n"/>
      <c r="C59" s="16" t="n"/>
    </row>
    <row r="60">
      <c r="A60" s="11" t="n"/>
      <c r="B60" s="12" t="n"/>
      <c r="C60" s="13" t="n"/>
    </row>
    <row r="61">
      <c r="A61" s="14" t="n"/>
      <c r="B61" s="15" t="n"/>
      <c r="C61" s="16" t="n"/>
    </row>
    <row r="62">
      <c r="A62" s="11" t="n"/>
      <c r="B62" s="12" t="n"/>
      <c r="C62" s="13" t="n"/>
    </row>
    <row r="63">
      <c r="A63" s="14" t="n"/>
      <c r="B63" s="15" t="n"/>
      <c r="C63" s="16" t="n"/>
    </row>
    <row r="64">
      <c r="A64" s="11" t="n"/>
      <c r="B64" s="12" t="n"/>
      <c r="C64" s="13" t="n"/>
    </row>
    <row r="65">
      <c r="A65" s="14" t="n"/>
      <c r="B65" s="15" t="n"/>
      <c r="C65" s="16" t="n"/>
    </row>
    <row r="66">
      <c r="A66" s="11" t="n"/>
      <c r="B66" s="12" t="n"/>
      <c r="C66" s="13" t="n"/>
    </row>
    <row r="67">
      <c r="A67" s="14" t="n"/>
      <c r="B67" s="15" t="n"/>
      <c r="C67" s="16" t="n"/>
    </row>
    <row r="68">
      <c r="A68" s="11" t="n"/>
      <c r="B68" s="12" t="n"/>
      <c r="C68" s="13" t="n"/>
    </row>
    <row r="69">
      <c r="A69" s="14" t="n"/>
      <c r="B69" s="15" t="n"/>
      <c r="C69" s="16" t="n"/>
    </row>
    <row r="70">
      <c r="A70" s="11" t="n"/>
      <c r="B70" s="12" t="n"/>
      <c r="C70" s="13" t="n"/>
    </row>
    <row r="71">
      <c r="A71" s="14" t="n"/>
      <c r="B71" s="15" t="n"/>
      <c r="C71" s="16" t="n"/>
    </row>
    <row r="72">
      <c r="A72" s="11" t="n"/>
      <c r="B72" s="12" t="n"/>
      <c r="C72" s="13" t="n"/>
    </row>
    <row r="73">
      <c r="A73" s="14" t="n"/>
      <c r="B73" s="15" t="n"/>
      <c r="C73" s="16" t="n"/>
    </row>
    <row r="74">
      <c r="A74" s="11" t="n"/>
      <c r="B74" s="12" t="n"/>
      <c r="C74" s="13" t="n"/>
    </row>
    <row r="75">
      <c r="A75" s="14" t="n"/>
      <c r="B75" s="15" t="n"/>
      <c r="C75" s="16" t="n"/>
    </row>
    <row r="76">
      <c r="A76" s="11" t="n"/>
      <c r="B76" s="12" t="n"/>
      <c r="C76" s="13" t="n"/>
    </row>
    <row r="77">
      <c r="A77" s="14" t="n"/>
      <c r="B77" s="15" t="n"/>
      <c r="C77" s="16" t="n"/>
    </row>
    <row r="78">
      <c r="A78" s="11" t="n"/>
      <c r="B78" s="12" t="n"/>
      <c r="C78" s="13" t="n"/>
    </row>
    <row r="79">
      <c r="A79" s="14" t="n"/>
      <c r="B79" s="15" t="n"/>
      <c r="C79" s="16" t="n"/>
    </row>
    <row r="80">
      <c r="A80" s="11" t="n"/>
      <c r="B80" s="12" t="n"/>
      <c r="C80" s="13" t="n"/>
    </row>
    <row r="81">
      <c r="A81" s="14" t="n"/>
      <c r="B81" s="15" t="n"/>
      <c r="C81" s="16" t="n"/>
    </row>
    <row r="82">
      <c r="A82" s="11" t="n"/>
      <c r="B82" s="12" t="n"/>
      <c r="C82" s="13" t="n"/>
    </row>
    <row r="83">
      <c r="A83" s="14" t="n"/>
      <c r="B83" s="15" t="n"/>
      <c r="C83" s="16" t="n"/>
    </row>
    <row r="84">
      <c r="A84" s="11" t="n"/>
      <c r="B84" s="12" t="n"/>
      <c r="C84" s="13" t="n"/>
    </row>
    <row r="85">
      <c r="A85" s="14" t="n"/>
      <c r="B85" s="15" t="n"/>
      <c r="C85" s="16" t="n"/>
    </row>
    <row r="86">
      <c r="A86" s="11" t="n"/>
      <c r="B86" s="12" t="n"/>
      <c r="C86" s="13" t="n"/>
    </row>
    <row r="87">
      <c r="A87" s="14" t="n"/>
      <c r="B87" s="15" t="n"/>
      <c r="C87" s="16" t="n"/>
    </row>
    <row r="88">
      <c r="A88" s="11" t="n"/>
      <c r="B88" s="12" t="n"/>
      <c r="C88" s="13" t="n"/>
    </row>
    <row r="89">
      <c r="A89" s="14" t="n"/>
      <c r="B89" s="15" t="n"/>
      <c r="C89" s="16" t="n"/>
    </row>
    <row r="90">
      <c r="A90" s="11" t="n"/>
      <c r="B90" s="12" t="n"/>
      <c r="C90" s="13" t="n"/>
    </row>
    <row r="91">
      <c r="A91" s="14" t="n"/>
      <c r="B91" s="15" t="n"/>
      <c r="C91" s="16" t="n"/>
    </row>
    <row r="92">
      <c r="A92" s="11" t="n"/>
      <c r="B92" s="12" t="n"/>
      <c r="C92" s="13" t="n"/>
    </row>
    <row r="93">
      <c r="A93" s="14" t="n"/>
      <c r="B93" s="15" t="n"/>
      <c r="C93" s="16" t="n"/>
    </row>
    <row r="94">
      <c r="A94" s="11" t="n"/>
      <c r="B94" s="12" t="n"/>
      <c r="C94" s="13" t="n"/>
    </row>
    <row r="95">
      <c r="A95" s="14" t="n"/>
      <c r="B95" s="15" t="n"/>
      <c r="C95" s="16" t="n"/>
    </row>
    <row r="96">
      <c r="A96" s="11" t="n"/>
      <c r="B96" s="12" t="n"/>
      <c r="C96" s="13" t="n"/>
    </row>
    <row r="97">
      <c r="A97" s="14" t="n"/>
      <c r="B97" s="15" t="n"/>
      <c r="C97" s="16" t="n"/>
    </row>
    <row r="98">
      <c r="A98" s="11" t="n"/>
      <c r="B98" s="12" t="n"/>
      <c r="C98" s="13" t="n"/>
    </row>
    <row r="99">
      <c r="A99" s="14" t="n"/>
      <c r="B99" s="15" t="n"/>
      <c r="C99" s="16" t="n"/>
    </row>
    <row r="100">
      <c r="A100" s="11" t="n"/>
      <c r="B100" s="12" t="n"/>
      <c r="C100" s="13" t="n"/>
    </row>
    <row r="101">
      <c r="A101" s="14" t="n"/>
      <c r="B101" s="15" t="n"/>
      <c r="C101" s="16" t="n"/>
    </row>
    <row r="102">
      <c r="A102" s="11" t="n"/>
      <c r="B102" s="12" t="n"/>
      <c r="C102" s="13" t="n"/>
    </row>
    <row r="103">
      <c r="A103" s="14" t="n"/>
      <c r="B103" s="15" t="n"/>
      <c r="C103" s="16" t="n"/>
    </row>
    <row r="104">
      <c r="A104" s="11" t="n"/>
      <c r="B104" s="12" t="n"/>
      <c r="C104" s="13" t="n"/>
    </row>
    <row r="105">
      <c r="A105" s="14" t="n"/>
      <c r="B105" s="15" t="n"/>
      <c r="C105" s="16" t="n"/>
    </row>
    <row r="106">
      <c r="A106" s="11" t="n"/>
      <c r="B106" s="12" t="n"/>
      <c r="C106" s="13" t="n"/>
    </row>
    <row r="107">
      <c r="A107" s="14" t="n"/>
      <c r="B107" s="15" t="n"/>
      <c r="C107" s="16" t="n"/>
    </row>
    <row r="108">
      <c r="A108" s="11" t="n"/>
      <c r="B108" s="12" t="n"/>
      <c r="C108" s="13" t="n"/>
    </row>
    <row r="109">
      <c r="A109" s="14" t="n"/>
      <c r="B109" s="15" t="n"/>
      <c r="C109" s="16" t="n"/>
    </row>
    <row r="110">
      <c r="A110" s="11" t="n"/>
      <c r="B110" s="12" t="n"/>
      <c r="C110" s="13" t="n"/>
    </row>
    <row r="111">
      <c r="A111" s="14" t="n"/>
      <c r="B111" s="15" t="n"/>
      <c r="C111" s="16" t="n"/>
    </row>
    <row r="112">
      <c r="A112" s="11" t="n"/>
      <c r="B112" s="12" t="n"/>
      <c r="C112" s="13" t="n"/>
    </row>
    <row r="113">
      <c r="A113" s="14" t="n"/>
      <c r="B113" s="15" t="n"/>
      <c r="C113" s="16" t="n"/>
    </row>
    <row r="114">
      <c r="A114" s="11" t="n"/>
      <c r="B114" s="12" t="n"/>
      <c r="C114" s="13" t="n"/>
    </row>
    <row r="115">
      <c r="A115" s="14" t="n"/>
      <c r="B115" s="15" t="n"/>
      <c r="C115" s="16" t="n"/>
    </row>
    <row r="116">
      <c r="A116" s="11" t="n"/>
      <c r="B116" s="12" t="n"/>
      <c r="C116" s="13" t="n"/>
    </row>
    <row r="117">
      <c r="A117" s="14" t="n"/>
      <c r="B117" s="15" t="n"/>
      <c r="C117" s="16" t="n"/>
    </row>
    <row r="118">
      <c r="A118" s="11" t="n"/>
      <c r="B118" s="12" t="n"/>
      <c r="C118" s="13" t="n"/>
    </row>
    <row r="119">
      <c r="A119" s="14" t="n"/>
      <c r="B119" s="15" t="n"/>
      <c r="C119" s="16" t="n"/>
    </row>
    <row r="120">
      <c r="A120" s="11" t="n"/>
      <c r="B120" s="12" t="n"/>
      <c r="C120" s="13" t="n"/>
    </row>
    <row r="121">
      <c r="A121" s="14" t="n"/>
      <c r="B121" s="15" t="n"/>
      <c r="C121" s="16" t="n"/>
    </row>
    <row r="122">
      <c r="A122" s="11" t="n"/>
      <c r="B122" s="12" t="n"/>
      <c r="C122" s="13" t="n"/>
    </row>
    <row r="123">
      <c r="A123" s="14" t="n"/>
      <c r="B123" s="15" t="n"/>
      <c r="C123" s="16" t="n"/>
    </row>
    <row r="124">
      <c r="A124" s="11" t="n"/>
      <c r="B124" s="12" t="n"/>
      <c r="C124" s="13" t="n"/>
    </row>
    <row r="125">
      <c r="A125" s="14" t="n"/>
      <c r="B125" s="15" t="n"/>
      <c r="C125" s="16" t="n"/>
    </row>
    <row r="126">
      <c r="A126" s="11" t="n"/>
      <c r="B126" s="12" t="n"/>
      <c r="C126" s="13" t="n"/>
    </row>
    <row r="127">
      <c r="A127" s="14" t="n"/>
      <c r="B127" s="15" t="n"/>
      <c r="C127" s="16" t="n"/>
    </row>
    <row r="128">
      <c r="A128" s="11" t="n"/>
      <c r="B128" s="12" t="n"/>
      <c r="C128" s="13" t="n"/>
    </row>
    <row r="129">
      <c r="A129" s="14" t="n"/>
      <c r="B129" s="15" t="n"/>
      <c r="C129" s="16" t="n"/>
    </row>
    <row r="130">
      <c r="A130" s="11" t="n"/>
      <c r="B130" s="12" t="n"/>
      <c r="C130" s="13" t="n"/>
    </row>
    <row r="131">
      <c r="A131" s="14" t="n"/>
      <c r="B131" s="15" t="n"/>
      <c r="C131" s="16" t="n"/>
    </row>
    <row r="132">
      <c r="A132" s="11" t="n"/>
      <c r="B132" s="12" t="n"/>
      <c r="C132" s="13" t="n"/>
    </row>
    <row r="133">
      <c r="A133" s="14" t="n"/>
      <c r="B133" s="15" t="n"/>
      <c r="C133" s="16" t="n"/>
    </row>
    <row r="134">
      <c r="A134" s="11" t="n"/>
      <c r="B134" s="12" t="n"/>
      <c r="C134" s="13" t="n"/>
    </row>
    <row r="135">
      <c r="A135" s="14" t="n"/>
      <c r="B135" s="15" t="n"/>
      <c r="C135" s="16" t="n"/>
    </row>
    <row r="136">
      <c r="A136" s="11" t="n"/>
      <c r="B136" s="12" t="n"/>
      <c r="C136" s="13" t="n"/>
    </row>
    <row r="137">
      <c r="A137" s="14" t="n"/>
      <c r="B137" s="15" t="n"/>
      <c r="C137" s="16" t="n"/>
    </row>
    <row r="138">
      <c r="A138" s="11" t="n"/>
      <c r="B138" s="12" t="n"/>
      <c r="C138" s="13" t="n"/>
    </row>
    <row r="139">
      <c r="A139" s="14" t="n"/>
      <c r="B139" s="15" t="n"/>
      <c r="C139" s="16" t="n"/>
    </row>
    <row r="140">
      <c r="A140" s="11" t="n"/>
      <c r="B140" s="12" t="n"/>
      <c r="C140" s="13" t="n"/>
    </row>
    <row r="141">
      <c r="A141" s="14" t="n"/>
      <c r="B141" s="15" t="n"/>
      <c r="C141" s="16" t="n"/>
    </row>
    <row r="142">
      <c r="A142" s="11" t="n"/>
      <c r="B142" s="12" t="n"/>
      <c r="C142" s="13" t="n"/>
    </row>
    <row r="143">
      <c r="A143" s="14" t="n"/>
      <c r="B143" s="15" t="n"/>
      <c r="C143" s="16" t="n"/>
    </row>
    <row r="144">
      <c r="A144" s="11" t="n"/>
      <c r="B144" s="12" t="n"/>
      <c r="C144" s="13" t="n"/>
    </row>
    <row r="145">
      <c r="A145" s="14" t="n"/>
      <c r="B145" s="15" t="n"/>
      <c r="C145" s="16" t="n"/>
    </row>
    <row r="146">
      <c r="A146" s="11" t="n"/>
      <c r="B146" s="12" t="n"/>
      <c r="C146" s="13" t="n"/>
    </row>
    <row r="147">
      <c r="A147" s="14" t="n"/>
      <c r="B147" s="15" t="n"/>
      <c r="C147" s="16" t="n"/>
    </row>
    <row r="148">
      <c r="A148" s="11" t="n"/>
      <c r="B148" s="12" t="n"/>
      <c r="C148" s="13" t="n"/>
    </row>
    <row r="149">
      <c r="A149" s="14" t="n"/>
      <c r="B149" s="15" t="n"/>
      <c r="C149" s="16" t="n"/>
    </row>
    <row r="150">
      <c r="A150" s="11" t="n"/>
      <c r="B150" s="12" t="n"/>
      <c r="C150" s="13" t="n"/>
    </row>
    <row r="151">
      <c r="A151" s="14" t="n"/>
      <c r="B151" s="15" t="n"/>
      <c r="C151" s="16" t="n"/>
    </row>
    <row r="152">
      <c r="A152" s="11" t="n"/>
      <c r="B152" s="12" t="n"/>
      <c r="C152" s="13" t="n"/>
    </row>
    <row r="153">
      <c r="A153" s="14" t="n"/>
      <c r="B153" s="15" t="n"/>
      <c r="C153" s="16" t="n"/>
    </row>
    <row r="154">
      <c r="A154" s="11" t="n"/>
      <c r="B154" s="12" t="n"/>
      <c r="C154" s="13" t="n"/>
    </row>
    <row r="155">
      <c r="A155" s="14" t="n"/>
      <c r="B155" s="15" t="n"/>
      <c r="C155" s="16" t="n"/>
    </row>
    <row r="156">
      <c r="A156" s="11" t="n"/>
      <c r="B156" s="12" t="n"/>
      <c r="C156" s="13" t="n"/>
    </row>
    <row r="157">
      <c r="A157" s="14" t="n"/>
      <c r="B157" s="15" t="n"/>
      <c r="C157" s="16" t="n"/>
    </row>
    <row r="158">
      <c r="A158" s="11" t="n"/>
      <c r="B158" s="12" t="n"/>
      <c r="C158" s="13" t="n"/>
    </row>
    <row r="159">
      <c r="A159" s="14" t="n"/>
      <c r="B159" s="15" t="n"/>
      <c r="C159" s="16" t="n"/>
    </row>
    <row r="160">
      <c r="A160" s="11" t="n"/>
      <c r="B160" s="12" t="n"/>
      <c r="C160" s="13" t="n"/>
    </row>
    <row r="161">
      <c r="A161" s="14" t="n"/>
      <c r="B161" s="15" t="n"/>
      <c r="C161" s="16" t="n"/>
    </row>
    <row r="162">
      <c r="A162" s="11" t="n"/>
      <c r="B162" s="12" t="n"/>
      <c r="C162" s="13" t="n"/>
    </row>
    <row r="163">
      <c r="A163" s="14" t="n"/>
      <c r="B163" s="15" t="n"/>
      <c r="C163" s="16" t="n"/>
    </row>
    <row r="164">
      <c r="A164" s="11" t="n"/>
      <c r="B164" s="12" t="n"/>
      <c r="C164" s="13" t="n"/>
    </row>
    <row r="165">
      <c r="A165" s="14" t="n"/>
      <c r="B165" s="15" t="n"/>
      <c r="C165" s="16" t="n"/>
    </row>
    <row r="166">
      <c r="A166" s="11" t="n"/>
      <c r="B166" s="12" t="n"/>
      <c r="C166" s="13" t="n"/>
    </row>
    <row r="167">
      <c r="A167" s="14" t="n"/>
      <c r="B167" s="15" t="n"/>
      <c r="C167" s="16" t="n"/>
    </row>
    <row r="168">
      <c r="A168" s="11" t="n"/>
      <c r="B168" s="12" t="n"/>
      <c r="C168" s="13" t="n"/>
    </row>
    <row r="169">
      <c r="A169" s="14" t="n"/>
      <c r="B169" s="15" t="n"/>
      <c r="C169" s="16" t="n"/>
    </row>
    <row r="170">
      <c r="A170" s="11" t="n"/>
      <c r="B170" s="12" t="n"/>
      <c r="C170" s="13" t="n"/>
    </row>
    <row r="171">
      <c r="A171" s="14" t="n"/>
      <c r="B171" s="15" t="n"/>
      <c r="C171" s="16" t="n"/>
    </row>
    <row r="172">
      <c r="A172" s="11" t="n"/>
      <c r="B172" s="12" t="n"/>
      <c r="C172" s="13" t="n"/>
    </row>
    <row r="173">
      <c r="A173" s="14" t="n"/>
      <c r="B173" s="15" t="n"/>
      <c r="C173" s="16" t="n"/>
    </row>
    <row r="174">
      <c r="A174" s="11" t="n"/>
      <c r="B174" s="12" t="n"/>
      <c r="C174" s="13" t="n"/>
    </row>
    <row r="175">
      <c r="A175" s="14" t="n"/>
      <c r="B175" s="15" t="n"/>
      <c r="C175" s="16" t="n"/>
    </row>
    <row r="176">
      <c r="A176" s="11" t="n"/>
      <c r="B176" s="12" t="n"/>
      <c r="C176" s="13" t="n"/>
    </row>
    <row r="177">
      <c r="A177" s="14" t="n"/>
      <c r="B177" s="15" t="n"/>
      <c r="C177" s="16" t="n"/>
    </row>
    <row r="178">
      <c r="A178" s="11" t="n"/>
      <c r="B178" s="12" t="n"/>
      <c r="C178" s="13" t="n"/>
    </row>
    <row r="179">
      <c r="A179" s="14" t="n"/>
      <c r="B179" s="15" t="n"/>
      <c r="C179" s="16" t="n"/>
    </row>
    <row r="180">
      <c r="A180" s="11" t="n"/>
      <c r="B180" s="12" t="n"/>
      <c r="C180" s="13" t="n"/>
    </row>
    <row r="181">
      <c r="A181" s="14" t="n"/>
      <c r="B181" s="15" t="n"/>
      <c r="C181" s="16" t="n"/>
    </row>
    <row r="182">
      <c r="A182" s="11" t="n"/>
      <c r="B182" s="12" t="n"/>
      <c r="C182" s="13" t="n"/>
    </row>
    <row r="183">
      <c r="A183" s="14" t="n"/>
      <c r="B183" s="15" t="n"/>
      <c r="C183" s="16" t="n"/>
    </row>
    <row r="184">
      <c r="A184" s="11" t="n"/>
      <c r="B184" s="12" t="n"/>
      <c r="C184" s="13" t="n"/>
    </row>
    <row r="185">
      <c r="A185" s="14" t="n"/>
      <c r="B185" s="15" t="n"/>
      <c r="C185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2">
    <mergeCell ref="A1:T1"/>
    <mergeCell ref="A2:T2"/>
  </mergeCells>
  <dataValidations count="2">
    <dataValidation sqref="B6:B185" showDropDown="0" showInputMessage="0" showErrorMessage="0" allowBlank="0" errorTitle="Invalid Charge Weight" error="Charge must be between 35.0-55.0 grains" promptTitle="Charge Weight" prompt="Enter powder charge in grains (e.g., 41.5)" type="decimal" operator="between">
      <formula1>35.0</formula1>
      <formula2>55.0</formula2>
    </dataValidation>
    <dataValidation sqref="C6:C185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5" max="5"/>
    <col width="15" customWidth="1" min="6" max="6"/>
    <col width="15" customWidth="1" min="7" max="7"/>
  </cols>
  <sheetData>
    <row r="1" ht="25" customHeight="1">
      <c r="A1" s="8" t="inlineStr">
        <is>
          <t>Template C: Before/After Modification - Evaluate a single change with 20-30 shots each</t>
        </is>
      </c>
    </row>
    <row r="3">
      <c r="A3" s="9" t="inlineStr">
        <is>
          <t>DATA ENTRY</t>
        </is>
      </c>
      <c r="E3" s="9" t="inlineStr">
        <is>
          <t>STATISTICS SUMMARY</t>
        </is>
      </c>
    </row>
    <row r="4">
      <c r="A4" s="10" t="inlineStr">
        <is>
          <t>Shot</t>
        </is>
      </c>
      <c r="B4" s="10" t="inlineStr">
        <is>
          <t>Condition</t>
        </is>
      </c>
      <c r="C4" s="10" t="inlineStr">
        <is>
          <t>Velocity (fps)</t>
        </is>
      </c>
    </row>
    <row r="5">
      <c r="A5" s="11" t="n">
        <v>1</v>
      </c>
      <c r="B5" s="12" t="inlineStr">
        <is>
          <t>Before</t>
        </is>
      </c>
      <c r="C5" s="13" t="n">
        <v>2850</v>
      </c>
      <c r="E5" s="10" t="inlineStr">
        <is>
          <t>Metric</t>
        </is>
      </c>
      <c r="F5" s="10" t="inlineStr">
        <is>
          <t>Before</t>
        </is>
      </c>
      <c r="G5" s="10" t="inlineStr">
        <is>
          <t>After</t>
        </is>
      </c>
    </row>
    <row r="6">
      <c r="A6" s="14" t="n">
        <v>2</v>
      </c>
      <c r="B6" s="15" t="inlineStr">
        <is>
          <t>Before</t>
        </is>
      </c>
      <c r="C6" s="16" t="n">
        <v>2855</v>
      </c>
      <c r="E6" s="17" t="inlineStr">
        <is>
          <t>Sample Size (n)</t>
        </is>
      </c>
      <c r="F6" s="18">
        <f>COUNTIF(B5:B64,"Before")</f>
        <v/>
      </c>
      <c r="G6" s="18">
        <f>COUNTIF(B5:B64,"After")</f>
        <v/>
      </c>
    </row>
    <row r="7">
      <c r="A7" s="11" t="n">
        <v>3</v>
      </c>
      <c r="B7" s="12" t="inlineStr">
        <is>
          <t>Before</t>
        </is>
      </c>
      <c r="C7" s="13" t="n">
        <v>2848</v>
      </c>
      <c r="E7" s="17" t="inlineStr">
        <is>
          <t>Mean Velocity (fps)</t>
        </is>
      </c>
      <c r="F7" s="19">
        <f>IFERROR(AVERAGE(IF(B5:B64="Before",C5:C64)),"")</f>
        <v/>
      </c>
      <c r="G7" s="19">
        <f>IFERROR(AVERAGE(IF(B5:B64="After",C5:C64)),"")</f>
        <v/>
      </c>
    </row>
    <row r="8">
      <c r="A8" s="14" t="n">
        <v>4</v>
      </c>
      <c r="B8" s="15" t="inlineStr">
        <is>
          <t>Before</t>
        </is>
      </c>
      <c r="C8" s="16" t="n">
        <v>2852</v>
      </c>
      <c r="E8" s="17" t="inlineStr">
        <is>
          <t>Std Dev (fps)</t>
        </is>
      </c>
      <c r="F8" s="19">
        <f>IFERROR(STDEV.S(IF(B5:B64="Before",C5:C64)),"")</f>
        <v/>
      </c>
      <c r="G8" s="19">
        <f>IFERROR(STDEV.S(IF(B5:B64="After",C5:C64)),"")</f>
        <v/>
      </c>
    </row>
    <row r="9">
      <c r="A9" s="11" t="n">
        <v>5</v>
      </c>
      <c r="B9" s="12" t="inlineStr">
        <is>
          <t>Before</t>
        </is>
      </c>
      <c r="C9" s="13" t="n">
        <v>2851</v>
      </c>
      <c r="E9" s="17" t="inlineStr">
        <is>
          <t>Extreme Spread (fps)</t>
        </is>
      </c>
      <c r="F9" s="19">
        <f>IFERROR(MAX(IF(B5:B64="Before",C5:C64))-MIN(IF(B5:B64="Before",C5:C64)),"")</f>
        <v/>
      </c>
      <c r="G9" s="19">
        <f>IFERROR(MAX(IF(B5:B64="After",C5:C64))-MIN(IF(B5:B64="After",C5:C64)),"")</f>
        <v/>
      </c>
    </row>
    <row r="10">
      <c r="A10" s="14" t="n">
        <v>6</v>
      </c>
      <c r="B10" s="15" t="inlineStr">
        <is>
          <t>Before</t>
        </is>
      </c>
      <c r="C10" s="16" t="n">
        <v>2849</v>
      </c>
    </row>
    <row r="11">
      <c r="A11" s="11" t="n">
        <v>7</v>
      </c>
      <c r="B11" s="12" t="inlineStr">
        <is>
          <t>Before</t>
        </is>
      </c>
      <c r="C11" s="13" t="n">
        <v>2853</v>
      </c>
      <c r="E11" s="9" t="inlineStr">
        <is>
          <t>CHANGE METRICS</t>
        </is>
      </c>
    </row>
    <row r="12">
      <c r="A12" s="14" t="n">
        <v>8</v>
      </c>
      <c r="B12" s="15" t="inlineStr">
        <is>
          <t>Before</t>
        </is>
      </c>
      <c r="C12" s="16" t="n">
        <v>2850</v>
      </c>
    </row>
    <row r="13">
      <c r="A13" s="11" t="n">
        <v>9</v>
      </c>
      <c r="B13" s="12" t="inlineStr">
        <is>
          <t>Before</t>
        </is>
      </c>
      <c r="C13" s="13" t="n">
        <v>2854</v>
      </c>
      <c r="E13" t="inlineStr">
        <is>
          <t>Change in Mean (fps)</t>
        </is>
      </c>
      <c r="F13" s="33">
        <f>IFERROR(G7-F7,"")</f>
        <v/>
      </c>
    </row>
    <row r="14">
      <c r="A14" s="14" t="n">
        <v>10</v>
      </c>
      <c r="B14" s="15" t="inlineStr">
        <is>
          <t>Before</t>
        </is>
      </c>
      <c r="C14" s="16" t="n">
        <v>2847</v>
      </c>
      <c r="E14" t="inlineStr">
        <is>
          <t>Change in SD (fps)</t>
        </is>
      </c>
      <c r="F14" s="33">
        <f>IFERROR(G8-F8,"")</f>
        <v/>
      </c>
    </row>
    <row r="15">
      <c r="A15" s="11" t="n">
        <v>11</v>
      </c>
      <c r="B15" s="12" t="inlineStr">
        <is>
          <t>After</t>
        </is>
      </c>
      <c r="C15" s="13" t="n">
        <v>2848</v>
      </c>
      <c r="E15" t="inlineStr">
        <is>
          <t>T-test P-value</t>
        </is>
      </c>
      <c r="F15" s="21">
        <f>IFERROR(T.TEST(IF(B5:B64="Before",C5:C64),IF(B5:B64="After",C5:C64),2,2),"")</f>
        <v/>
      </c>
    </row>
    <row r="16">
      <c r="A16" s="14" t="n">
        <v>12</v>
      </c>
      <c r="B16" s="15" t="inlineStr">
        <is>
          <t>After</t>
        </is>
      </c>
      <c r="C16" s="16" t="n">
        <v>2853</v>
      </c>
    </row>
    <row r="17">
      <c r="A17" s="11" t="n">
        <v>13</v>
      </c>
      <c r="B17" s="12" t="inlineStr">
        <is>
          <t>After</t>
        </is>
      </c>
      <c r="C17" s="13" t="n">
        <v>2846</v>
      </c>
    </row>
    <row r="18">
      <c r="A18" s="14" t="n">
        <v>14</v>
      </c>
      <c r="B18" s="15" t="inlineStr">
        <is>
          <t>After</t>
        </is>
      </c>
      <c r="C18" s="16" t="n">
        <v>2851</v>
      </c>
      <c r="E18" s="9" t="inlineStr">
        <is>
          <t>INTERPRETATION</t>
        </is>
      </c>
    </row>
    <row r="19">
      <c r="A19" s="11" t="n">
        <v>15</v>
      </c>
      <c r="B19" s="12" t="inlineStr">
        <is>
          <t>After</t>
        </is>
      </c>
      <c r="C19" s="13" t="n">
        <v>2850</v>
      </c>
    </row>
    <row r="20">
      <c r="A20" s="14" t="n">
        <v>16</v>
      </c>
      <c r="B20" s="15" t="inlineStr">
        <is>
          <t>After</t>
        </is>
      </c>
      <c r="C20" s="16" t="n">
        <v>2847</v>
      </c>
      <c r="E20" s="23" t="inlineStr">
        <is>
          <t>Verdict:</t>
        </is>
      </c>
    </row>
    <row r="21" ht="80" customHeight="1">
      <c r="A21" s="11" t="n">
        <v>17</v>
      </c>
      <c r="B21" s="12" t="inlineStr">
        <is>
          <t>After</t>
        </is>
      </c>
      <c r="C21" s="13" t="n">
        <v>2852</v>
      </c>
      <c r="E21" s="25">
        <f>IF(F15="","Enter data to see interpretation",IF(F15&gt;=0.05,"➤ NO SIGNIFICANT DIFFERENCE: The modification had no measurable effect. Change is likely random variation.",IF(AND(ABS(F13)&lt;10,ABS(F14)&lt;3),"➤ STATISTICALLY SIGNIFICANT BUT PRACTICALLY SMALL: The change is real but probably not worth worrying about. Δ Mean=" &amp; TEXT(F13,"+0.0;-0.0") &amp; " fps, Δ SD=" &amp; TEXT(F14,"+0.0;-0.0") &amp; " fps","➤ SIGNIFICANT AND MEANINGFUL: The modification had a real, measurable effect. Δ Mean=" &amp; TEXT(F13,"+0.0;-0.0") &amp; " fps, Δ SD=" &amp; TEXT(F14,"+0.0;-0.0") &amp; " fps. Consider whether this improvement/degradation justifies the change.")))</f>
        <v/>
      </c>
    </row>
    <row r="22">
      <c r="A22" s="14" t="n">
        <v>18</v>
      </c>
      <c r="B22" s="15" t="inlineStr">
        <is>
          <t>After</t>
        </is>
      </c>
      <c r="C22" s="16" t="n">
        <v>2849</v>
      </c>
    </row>
    <row r="23">
      <c r="A23" s="11" t="n">
        <v>19</v>
      </c>
      <c r="B23" s="12" t="inlineStr">
        <is>
          <t>After</t>
        </is>
      </c>
      <c r="C23" s="13" t="n">
        <v>2853</v>
      </c>
    </row>
    <row r="24">
      <c r="A24" s="14" t="n">
        <v>20</v>
      </c>
      <c r="B24" s="15" t="inlineStr">
        <is>
          <t>After</t>
        </is>
      </c>
      <c r="C24" s="16" t="n">
        <v>2846</v>
      </c>
    </row>
    <row r="25">
      <c r="A25" s="11" t="n"/>
      <c r="B25" s="12" t="n"/>
      <c r="C25" s="13" t="n"/>
    </row>
    <row r="26">
      <c r="A26" s="14" t="n"/>
      <c r="B26" s="15" t="n"/>
      <c r="C26" s="16" t="n"/>
      <c r="E26" s="9" t="inlineStr">
        <is>
          <t>📊 Charts would show:</t>
        </is>
      </c>
    </row>
    <row r="27">
      <c r="A27" s="11" t="n"/>
      <c r="B27" s="12" t="n"/>
      <c r="C27" s="13" t="n"/>
      <c r="E27" t="inlineStr">
        <is>
          <t>1. Overlapping histograms (Before=gray, After=green)</t>
        </is>
      </c>
    </row>
    <row r="28">
      <c r="A28" s="14" t="n"/>
      <c r="B28" s="15" t="n"/>
      <c r="C28" s="16" t="n"/>
      <c r="E28" t="inlineStr">
        <is>
          <t>2. Side-by-side box plots</t>
        </is>
      </c>
    </row>
    <row r="29">
      <c r="A29" s="11" t="n"/>
      <c r="B29" s="12" t="n"/>
      <c r="C29" s="13" t="n"/>
      <c r="E29" t="inlineStr">
        <is>
          <t>3. Sequential velocity plot through both conditions</t>
        </is>
      </c>
    </row>
    <row r="30">
      <c r="A30" s="14" t="n"/>
      <c r="B30" s="15" t="n"/>
      <c r="C30" s="16" t="n"/>
      <c r="E30" t="inlineStr">
        <is>
          <t>4. Delta bar chart (change in mean and SD)</t>
        </is>
      </c>
    </row>
    <row r="31">
      <c r="A31" s="11" t="n"/>
      <c r="B31" s="12" t="n"/>
      <c r="C31" s="13" t="n"/>
    </row>
    <row r="32">
      <c r="A32" s="14" t="n"/>
      <c r="B32" s="15" t="n"/>
      <c r="C32" s="16" t="n"/>
    </row>
    <row r="33">
      <c r="A33" s="11" t="n"/>
      <c r="B33" s="12" t="n"/>
      <c r="C33" s="13" t="n"/>
    </row>
    <row r="34">
      <c r="A34" s="14" t="n"/>
      <c r="B34" s="15" t="n"/>
      <c r="C34" s="16" t="n"/>
    </row>
    <row r="35">
      <c r="A35" s="11" t="n"/>
      <c r="B35" s="12" t="n"/>
      <c r="C35" s="13" t="n"/>
    </row>
    <row r="36">
      <c r="A36" s="14" t="n"/>
      <c r="B36" s="15" t="n"/>
      <c r="C36" s="16" t="n"/>
    </row>
    <row r="37">
      <c r="A37" s="11" t="n"/>
      <c r="B37" s="12" t="n"/>
      <c r="C37" s="13" t="n"/>
    </row>
    <row r="38">
      <c r="A38" s="14" t="n"/>
      <c r="B38" s="15" t="n"/>
      <c r="C38" s="16" t="n"/>
    </row>
    <row r="39">
      <c r="A39" s="11" t="n"/>
      <c r="B39" s="12" t="n"/>
      <c r="C39" s="13" t="n"/>
    </row>
    <row r="40">
      <c r="A40" s="14" t="n"/>
      <c r="B40" s="15" t="n"/>
      <c r="C40" s="16" t="n"/>
    </row>
    <row r="41">
      <c r="A41" s="11" t="n"/>
      <c r="B41" s="12" t="n"/>
      <c r="C41" s="13" t="n"/>
    </row>
    <row r="42">
      <c r="A42" s="14" t="n"/>
      <c r="B42" s="15" t="n"/>
      <c r="C42" s="16" t="n"/>
    </row>
    <row r="43">
      <c r="A43" s="11" t="n"/>
      <c r="B43" s="12" t="n"/>
      <c r="C43" s="13" t="n"/>
    </row>
    <row r="44">
      <c r="A44" s="14" t="n"/>
      <c r="B44" s="15" t="n"/>
      <c r="C44" s="16" t="n"/>
    </row>
    <row r="45">
      <c r="A45" s="11" t="n"/>
      <c r="B45" s="12" t="n"/>
      <c r="C45" s="13" t="n"/>
    </row>
    <row r="46">
      <c r="A46" s="14" t="n"/>
      <c r="B46" s="15" t="n"/>
      <c r="C46" s="16" t="n"/>
    </row>
    <row r="47">
      <c r="A47" s="11" t="n"/>
      <c r="B47" s="12" t="n"/>
      <c r="C47" s="13" t="n"/>
    </row>
    <row r="48">
      <c r="A48" s="14" t="n"/>
      <c r="B48" s="15" t="n"/>
      <c r="C48" s="16" t="n"/>
    </row>
    <row r="49">
      <c r="A49" s="11" t="n"/>
      <c r="B49" s="12" t="n"/>
      <c r="C49" s="13" t="n"/>
    </row>
    <row r="50">
      <c r="A50" s="14" t="n"/>
      <c r="B50" s="15" t="n"/>
      <c r="C50" s="16" t="n"/>
    </row>
    <row r="51">
      <c r="A51" s="11" t="n"/>
      <c r="B51" s="12" t="n"/>
      <c r="C51" s="13" t="n"/>
    </row>
    <row r="52">
      <c r="A52" s="14" t="n"/>
      <c r="B52" s="15" t="n"/>
      <c r="C52" s="16" t="n"/>
    </row>
    <row r="53">
      <c r="A53" s="11" t="n"/>
      <c r="B53" s="12" t="n"/>
      <c r="C53" s="13" t="n"/>
    </row>
    <row r="54">
      <c r="A54" s="14" t="n"/>
      <c r="B54" s="15" t="n"/>
      <c r="C54" s="16" t="n"/>
    </row>
    <row r="55">
      <c r="A55" s="11" t="n"/>
      <c r="B55" s="12" t="n"/>
      <c r="C55" s="13" t="n"/>
    </row>
    <row r="56">
      <c r="A56" s="14" t="n"/>
      <c r="B56" s="15" t="n"/>
      <c r="C56" s="16" t="n"/>
    </row>
    <row r="57">
      <c r="A57" s="11" t="n"/>
      <c r="B57" s="12" t="n"/>
      <c r="C57" s="13" t="n"/>
    </row>
    <row r="58">
      <c r="A58" s="14" t="n"/>
      <c r="B58" s="15" t="n"/>
      <c r="C58" s="16" t="n"/>
    </row>
    <row r="59">
      <c r="A59" s="11" t="n"/>
      <c r="B59" s="12" t="n"/>
      <c r="C59" s="13" t="n"/>
    </row>
    <row r="60">
      <c r="A60" s="14" t="n"/>
      <c r="B60" s="15" t="n"/>
      <c r="C60" s="16" t="n"/>
    </row>
    <row r="61">
      <c r="A61" s="11" t="n"/>
      <c r="B61" s="12" t="n"/>
      <c r="C61" s="13" t="n"/>
    </row>
    <row r="62">
      <c r="A62" s="14" t="n"/>
      <c r="B62" s="15" t="n"/>
      <c r="C62" s="16" t="n"/>
    </row>
    <row r="63">
      <c r="A63" s="11" t="n"/>
      <c r="B63" s="12" t="n"/>
      <c r="C63" s="13" t="n"/>
    </row>
    <row r="64">
      <c r="A64" s="14" t="n"/>
      <c r="B64" s="15" t="n"/>
      <c r="C64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1">
    <mergeCell ref="A1:T1"/>
  </mergeCells>
  <dataValidations count="2">
    <dataValidation sqref="B5:B64" showDropDown="0" showInputMessage="0" showErrorMessage="0" allowBlank="0" errorTitle="Invalid Condition" error="Invalid entry" promptTitle="Condition Selection" prompt="Choose Before or After" type="list">
      <formula1>"Before,After"</formula1>
    </dataValidation>
    <dataValidation sqref="C5:C64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2025-12-27T03:36:11Z</dcterms:created>
  <dcterms:modified xsi:type="dcterms:W3CDTF">2025-12-27T03:36:11Z</dcterms:modified>
</cp:coreProperties>
</file>